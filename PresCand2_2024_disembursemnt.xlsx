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ews releases\2023-24 Statistical\24-Month\I. Presidential Tables\"/>
    </mc:Choice>
  </mc:AlternateContent>
  <xr:revisionPtr revIDLastSave="0" documentId="13_ncr:1_{C45B92B9-6BFB-402A-BF0C-092D618DC4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sidential Table 2" sheetId="1" r:id="rId1"/>
  </sheets>
  <definedNames>
    <definedName name="_xlnm.Print_Area" localSheetId="0">'Presidential Table 2'!$A$2:$M$65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J45" i="1"/>
  <c r="M46" i="1"/>
  <c r="L46" i="1"/>
  <c r="K46" i="1"/>
  <c r="I46" i="1"/>
  <c r="H46" i="1"/>
  <c r="G46" i="1"/>
  <c r="F46" i="1"/>
  <c r="E46" i="1"/>
  <c r="D46" i="1"/>
  <c r="M45" i="1"/>
  <c r="L45" i="1"/>
  <c r="K45" i="1"/>
  <c r="I45" i="1"/>
  <c r="H45" i="1"/>
  <c r="G45" i="1"/>
  <c r="F45" i="1"/>
  <c r="E45" i="1"/>
  <c r="D45" i="1"/>
  <c r="M44" i="1"/>
  <c r="L44" i="1"/>
  <c r="K44" i="1"/>
  <c r="J44" i="1"/>
  <c r="I44" i="1"/>
  <c r="H44" i="1"/>
  <c r="G44" i="1"/>
  <c r="F44" i="1"/>
  <c r="E44" i="1"/>
  <c r="D44" i="1"/>
  <c r="C46" i="1"/>
  <c r="C45" i="1"/>
  <c r="C44" i="1"/>
  <c r="E48" i="1" l="1"/>
  <c r="F48" i="1"/>
  <c r="M48" i="1"/>
  <c r="I48" i="1"/>
  <c r="C48" i="1"/>
  <c r="G48" i="1"/>
  <c r="H48" i="1"/>
  <c r="J48" i="1"/>
  <c r="K48" i="1"/>
  <c r="D48" i="1"/>
  <c r="L48" i="1"/>
</calcChain>
</file>

<file path=xl/sharedStrings.xml><?xml version="1.0" encoding="utf-8"?>
<sst xmlns="http://schemas.openxmlformats.org/spreadsheetml/2006/main" count="67" uniqueCount="61">
  <si>
    <t>Fundraising</t>
  </si>
  <si>
    <t>Expenditures</t>
  </si>
  <si>
    <t>Latest</t>
  </si>
  <si>
    <t>Debts</t>
  </si>
  <si>
    <t>Disbursements</t>
  </si>
  <si>
    <t>Other</t>
  </si>
  <si>
    <t>Cash</t>
  </si>
  <si>
    <t>Owed by</t>
  </si>
  <si>
    <t>Owed to</t>
  </si>
  <si>
    <t>Total</t>
  </si>
  <si>
    <t>on Hand</t>
  </si>
  <si>
    <t>Campaign</t>
  </si>
  <si>
    <t>Democrats</t>
  </si>
  <si>
    <t>Republicans</t>
  </si>
  <si>
    <t>Total Democrats</t>
  </si>
  <si>
    <t>Grand Total</t>
  </si>
  <si>
    <t>Legal &amp;</t>
  </si>
  <si>
    <t xml:space="preserve">Operating </t>
  </si>
  <si>
    <t xml:space="preserve"> Accounting</t>
  </si>
  <si>
    <t xml:space="preserve"> Loan</t>
  </si>
  <si>
    <t xml:space="preserve"> Contribution</t>
  </si>
  <si>
    <t>Committees</t>
  </si>
  <si>
    <t>Repayments</t>
  </si>
  <si>
    <t>Refunds</t>
  </si>
  <si>
    <t>Disbursments</t>
  </si>
  <si>
    <t>Total Other</t>
  </si>
  <si>
    <t>Total Republicans</t>
  </si>
  <si>
    <t>Transfers to Other</t>
  </si>
  <si>
    <t>*Only presidential candidates who have raised or spent more than $100,000 (outside of his or her personal funds) are itemized on this table.</t>
  </si>
  <si>
    <t xml:space="preserve"> </t>
  </si>
  <si>
    <t>Binkley, Ryan</t>
  </si>
  <si>
    <t>Burgum, Doug</t>
  </si>
  <si>
    <t>Christie, Chris</t>
  </si>
  <si>
    <t>DeSantis, Ron</t>
  </si>
  <si>
    <t>Elder, Larry</t>
  </si>
  <si>
    <t>Haley, Nikki</t>
  </si>
  <si>
    <t>Hurd, William</t>
  </si>
  <si>
    <t>Hutchinson, W. Asa</t>
  </si>
  <si>
    <t>Pence, Mike</t>
  </si>
  <si>
    <t>Ramaswamy, Vivek</t>
  </si>
  <si>
    <t>Scott, Timothy E.</t>
  </si>
  <si>
    <t>Suarez, Francis</t>
  </si>
  <si>
    <t>Trump, Donald J.</t>
  </si>
  <si>
    <t>Phillips, Dean</t>
  </si>
  <si>
    <t>Uygur, Cenk</t>
  </si>
  <si>
    <t>Williamson, Marianne</t>
  </si>
  <si>
    <t>Stein, Jill</t>
  </si>
  <si>
    <t>Kennedy, Robert F Jr.</t>
  </si>
  <si>
    <t>West, Cornel</t>
  </si>
  <si>
    <t>de la Cruz, Claudia</t>
  </si>
  <si>
    <t>Oliver, Chase Russell</t>
  </si>
  <si>
    <t>Terry, Randal Allan</t>
  </si>
  <si>
    <t>Ayyadurai, Shiva Dr.</t>
  </si>
  <si>
    <t xml:space="preserve">Other Republican candidates (29) </t>
  </si>
  <si>
    <t>Harris, Kamala**</t>
  </si>
  <si>
    <t>**This figure includes activity predating the renaming of the Biden for President committee (C00703975) on July 21, 2024, to Harris for President.</t>
  </si>
  <si>
    <t xml:space="preserve">Other Democratic candidates (10) </t>
  </si>
  <si>
    <t>Other candidates (46)</t>
  </si>
  <si>
    <t xml:space="preserve">Presidential Table 2*    </t>
  </si>
  <si>
    <t>This table was generated on 3/24/2025.</t>
  </si>
  <si>
    <t>Presidential Campaign Disbursements through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</si>
</sst>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9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2"/>
    </font>
    <font>
      <sz val="12"/>
      <color rgb="FFFF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164" fontId="5" fillId="0" borderId="0" xfId="0" applyNumberFormat="1" applyFont="1"/>
    <xf numFmtId="0" fontId="4" fillId="2" borderId="0" xfId="0" applyFont="1" applyFill="1" applyAlignment="1">
      <alignment horizontal="center"/>
    </xf>
    <xf numFmtId="0" fontId="6" fillId="0" borderId="0" xfId="0" applyFont="1"/>
    <xf numFmtId="164" fontId="0" fillId="2" borderId="0" xfId="0" applyNumberFormat="1" applyFill="1"/>
    <xf numFmtId="164" fontId="3" fillId="2" borderId="0" xfId="0" applyNumberFormat="1" applyFont="1" applyFill="1"/>
    <xf numFmtId="164" fontId="7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showWhiteSpace="0" zoomScaleNormal="100" zoomScalePageLayoutView="75" workbookViewId="0">
      <selection activeCell="A3" sqref="A3:M3"/>
    </sheetView>
  </sheetViews>
  <sheetFormatPr defaultRowHeight="15.6" x14ac:dyDescent="0.3"/>
  <cols>
    <col min="1" max="1" width="2.8984375" customWidth="1"/>
    <col min="2" max="2" width="28.19921875" customWidth="1"/>
    <col min="3" max="3" width="17" customWidth="1"/>
    <col min="4" max="4" width="15" customWidth="1"/>
    <col min="5" max="5" width="14" customWidth="1"/>
    <col min="6" max="6" width="11.3984375" bestFit="1" customWidth="1"/>
    <col min="7" max="7" width="14.3984375" customWidth="1"/>
    <col min="8" max="8" width="12.3984375" bestFit="1" customWidth="1"/>
    <col min="9" max="9" width="11.3984375" bestFit="1" customWidth="1"/>
    <col min="10" max="10" width="16" bestFit="1" customWidth="1"/>
    <col min="11" max="11" width="13.59765625" customWidth="1"/>
    <col min="12" max="12" width="13.09765625" customWidth="1"/>
    <col min="13" max="13" width="10.8984375" customWidth="1"/>
    <col min="257" max="257" width="7.19921875" customWidth="1"/>
    <col min="258" max="258" width="10.69921875" bestFit="1" customWidth="1"/>
    <col min="259" max="259" width="12.09765625" bestFit="1" customWidth="1"/>
    <col min="260" max="260" width="12.69921875" bestFit="1" customWidth="1"/>
    <col min="261" max="261" width="14.5" bestFit="1" customWidth="1"/>
    <col min="262" max="262" width="12.69921875" bestFit="1" customWidth="1"/>
    <col min="263" max="263" width="12.09765625" bestFit="1" customWidth="1"/>
    <col min="264" max="264" width="11.19921875" bestFit="1" customWidth="1"/>
    <col min="265" max="266" width="10.59765625" bestFit="1" customWidth="1"/>
    <col min="267" max="267" width="8.8984375" bestFit="1" customWidth="1"/>
    <col min="513" max="513" width="7.19921875" customWidth="1"/>
    <col min="514" max="514" width="10.69921875" bestFit="1" customWidth="1"/>
    <col min="515" max="515" width="12.09765625" bestFit="1" customWidth="1"/>
    <col min="516" max="516" width="12.69921875" bestFit="1" customWidth="1"/>
    <col min="517" max="517" width="14.5" bestFit="1" customWidth="1"/>
    <col min="518" max="518" width="12.69921875" bestFit="1" customWidth="1"/>
    <col min="519" max="519" width="12.09765625" bestFit="1" customWidth="1"/>
    <col min="520" max="520" width="11.19921875" bestFit="1" customWidth="1"/>
    <col min="521" max="522" width="10.59765625" bestFit="1" customWidth="1"/>
    <col min="523" max="523" width="8.8984375" bestFit="1" customWidth="1"/>
    <col min="769" max="769" width="7.19921875" customWidth="1"/>
    <col min="770" max="770" width="10.69921875" bestFit="1" customWidth="1"/>
    <col min="771" max="771" width="12.09765625" bestFit="1" customWidth="1"/>
    <col min="772" max="772" width="12.69921875" bestFit="1" customWidth="1"/>
    <col min="773" max="773" width="14.5" bestFit="1" customWidth="1"/>
    <col min="774" max="774" width="12.69921875" bestFit="1" customWidth="1"/>
    <col min="775" max="775" width="12.09765625" bestFit="1" customWidth="1"/>
    <col min="776" max="776" width="11.19921875" bestFit="1" customWidth="1"/>
    <col min="777" max="778" width="10.59765625" bestFit="1" customWidth="1"/>
    <col min="779" max="779" width="8.8984375" bestFit="1" customWidth="1"/>
    <col min="1025" max="1025" width="7.19921875" customWidth="1"/>
    <col min="1026" max="1026" width="10.69921875" bestFit="1" customWidth="1"/>
    <col min="1027" max="1027" width="12.09765625" bestFit="1" customWidth="1"/>
    <col min="1028" max="1028" width="12.69921875" bestFit="1" customWidth="1"/>
    <col min="1029" max="1029" width="14.5" bestFit="1" customWidth="1"/>
    <col min="1030" max="1030" width="12.69921875" bestFit="1" customWidth="1"/>
    <col min="1031" max="1031" width="12.09765625" bestFit="1" customWidth="1"/>
    <col min="1032" max="1032" width="11.19921875" bestFit="1" customWidth="1"/>
    <col min="1033" max="1034" width="10.59765625" bestFit="1" customWidth="1"/>
    <col min="1035" max="1035" width="8.8984375" bestFit="1" customWidth="1"/>
    <col min="1281" max="1281" width="7.19921875" customWidth="1"/>
    <col min="1282" max="1282" width="10.69921875" bestFit="1" customWidth="1"/>
    <col min="1283" max="1283" width="12.09765625" bestFit="1" customWidth="1"/>
    <col min="1284" max="1284" width="12.69921875" bestFit="1" customWidth="1"/>
    <col min="1285" max="1285" width="14.5" bestFit="1" customWidth="1"/>
    <col min="1286" max="1286" width="12.69921875" bestFit="1" customWidth="1"/>
    <col min="1287" max="1287" width="12.09765625" bestFit="1" customWidth="1"/>
    <col min="1288" max="1288" width="11.19921875" bestFit="1" customWidth="1"/>
    <col min="1289" max="1290" width="10.59765625" bestFit="1" customWidth="1"/>
    <col min="1291" max="1291" width="8.8984375" bestFit="1" customWidth="1"/>
    <col min="1537" max="1537" width="7.19921875" customWidth="1"/>
    <col min="1538" max="1538" width="10.69921875" bestFit="1" customWidth="1"/>
    <col min="1539" max="1539" width="12.09765625" bestFit="1" customWidth="1"/>
    <col min="1540" max="1540" width="12.69921875" bestFit="1" customWidth="1"/>
    <col min="1541" max="1541" width="14.5" bestFit="1" customWidth="1"/>
    <col min="1542" max="1542" width="12.69921875" bestFit="1" customWidth="1"/>
    <col min="1543" max="1543" width="12.09765625" bestFit="1" customWidth="1"/>
    <col min="1544" max="1544" width="11.19921875" bestFit="1" customWidth="1"/>
    <col min="1545" max="1546" width="10.59765625" bestFit="1" customWidth="1"/>
    <col min="1547" max="1547" width="8.8984375" bestFit="1" customWidth="1"/>
    <col min="1793" max="1793" width="7.19921875" customWidth="1"/>
    <col min="1794" max="1794" width="10.69921875" bestFit="1" customWidth="1"/>
    <col min="1795" max="1795" width="12.09765625" bestFit="1" customWidth="1"/>
    <col min="1796" max="1796" width="12.69921875" bestFit="1" customWidth="1"/>
    <col min="1797" max="1797" width="14.5" bestFit="1" customWidth="1"/>
    <col min="1798" max="1798" width="12.69921875" bestFit="1" customWidth="1"/>
    <col min="1799" max="1799" width="12.09765625" bestFit="1" customWidth="1"/>
    <col min="1800" max="1800" width="11.19921875" bestFit="1" customWidth="1"/>
    <col min="1801" max="1802" width="10.59765625" bestFit="1" customWidth="1"/>
    <col min="1803" max="1803" width="8.8984375" bestFit="1" customWidth="1"/>
    <col min="2049" max="2049" width="7.19921875" customWidth="1"/>
    <col min="2050" max="2050" width="10.69921875" bestFit="1" customWidth="1"/>
    <col min="2051" max="2051" width="12.09765625" bestFit="1" customWidth="1"/>
    <col min="2052" max="2052" width="12.69921875" bestFit="1" customWidth="1"/>
    <col min="2053" max="2053" width="14.5" bestFit="1" customWidth="1"/>
    <col min="2054" max="2054" width="12.69921875" bestFit="1" customWidth="1"/>
    <col min="2055" max="2055" width="12.09765625" bestFit="1" customWidth="1"/>
    <col min="2056" max="2056" width="11.19921875" bestFit="1" customWidth="1"/>
    <col min="2057" max="2058" width="10.59765625" bestFit="1" customWidth="1"/>
    <col min="2059" max="2059" width="8.8984375" bestFit="1" customWidth="1"/>
    <col min="2305" max="2305" width="7.19921875" customWidth="1"/>
    <col min="2306" max="2306" width="10.69921875" bestFit="1" customWidth="1"/>
    <col min="2307" max="2307" width="12.09765625" bestFit="1" customWidth="1"/>
    <col min="2308" max="2308" width="12.69921875" bestFit="1" customWidth="1"/>
    <col min="2309" max="2309" width="14.5" bestFit="1" customWidth="1"/>
    <col min="2310" max="2310" width="12.69921875" bestFit="1" customWidth="1"/>
    <col min="2311" max="2311" width="12.09765625" bestFit="1" customWidth="1"/>
    <col min="2312" max="2312" width="11.19921875" bestFit="1" customWidth="1"/>
    <col min="2313" max="2314" width="10.59765625" bestFit="1" customWidth="1"/>
    <col min="2315" max="2315" width="8.8984375" bestFit="1" customWidth="1"/>
    <col min="2561" max="2561" width="7.19921875" customWidth="1"/>
    <col min="2562" max="2562" width="10.69921875" bestFit="1" customWidth="1"/>
    <col min="2563" max="2563" width="12.09765625" bestFit="1" customWidth="1"/>
    <col min="2564" max="2564" width="12.69921875" bestFit="1" customWidth="1"/>
    <col min="2565" max="2565" width="14.5" bestFit="1" customWidth="1"/>
    <col min="2566" max="2566" width="12.69921875" bestFit="1" customWidth="1"/>
    <col min="2567" max="2567" width="12.09765625" bestFit="1" customWidth="1"/>
    <col min="2568" max="2568" width="11.19921875" bestFit="1" customWidth="1"/>
    <col min="2569" max="2570" width="10.59765625" bestFit="1" customWidth="1"/>
    <col min="2571" max="2571" width="8.8984375" bestFit="1" customWidth="1"/>
    <col min="2817" max="2817" width="7.19921875" customWidth="1"/>
    <col min="2818" max="2818" width="10.69921875" bestFit="1" customWidth="1"/>
    <col min="2819" max="2819" width="12.09765625" bestFit="1" customWidth="1"/>
    <col min="2820" max="2820" width="12.69921875" bestFit="1" customWidth="1"/>
    <col min="2821" max="2821" width="14.5" bestFit="1" customWidth="1"/>
    <col min="2822" max="2822" width="12.69921875" bestFit="1" customWidth="1"/>
    <col min="2823" max="2823" width="12.09765625" bestFit="1" customWidth="1"/>
    <col min="2824" max="2824" width="11.19921875" bestFit="1" customWidth="1"/>
    <col min="2825" max="2826" width="10.59765625" bestFit="1" customWidth="1"/>
    <col min="2827" max="2827" width="8.8984375" bestFit="1" customWidth="1"/>
    <col min="3073" max="3073" width="7.19921875" customWidth="1"/>
    <col min="3074" max="3074" width="10.69921875" bestFit="1" customWidth="1"/>
    <col min="3075" max="3075" width="12.09765625" bestFit="1" customWidth="1"/>
    <col min="3076" max="3076" width="12.69921875" bestFit="1" customWidth="1"/>
    <col min="3077" max="3077" width="14.5" bestFit="1" customWidth="1"/>
    <col min="3078" max="3078" width="12.69921875" bestFit="1" customWidth="1"/>
    <col min="3079" max="3079" width="12.09765625" bestFit="1" customWidth="1"/>
    <col min="3080" max="3080" width="11.19921875" bestFit="1" customWidth="1"/>
    <col min="3081" max="3082" width="10.59765625" bestFit="1" customWidth="1"/>
    <col min="3083" max="3083" width="8.8984375" bestFit="1" customWidth="1"/>
    <col min="3329" max="3329" width="7.19921875" customWidth="1"/>
    <col min="3330" max="3330" width="10.69921875" bestFit="1" customWidth="1"/>
    <col min="3331" max="3331" width="12.09765625" bestFit="1" customWidth="1"/>
    <col min="3332" max="3332" width="12.69921875" bestFit="1" customWidth="1"/>
    <col min="3333" max="3333" width="14.5" bestFit="1" customWidth="1"/>
    <col min="3334" max="3334" width="12.69921875" bestFit="1" customWidth="1"/>
    <col min="3335" max="3335" width="12.09765625" bestFit="1" customWidth="1"/>
    <col min="3336" max="3336" width="11.19921875" bestFit="1" customWidth="1"/>
    <col min="3337" max="3338" width="10.59765625" bestFit="1" customWidth="1"/>
    <col min="3339" max="3339" width="8.8984375" bestFit="1" customWidth="1"/>
    <col min="3585" max="3585" width="7.19921875" customWidth="1"/>
    <col min="3586" max="3586" width="10.69921875" bestFit="1" customWidth="1"/>
    <col min="3587" max="3587" width="12.09765625" bestFit="1" customWidth="1"/>
    <col min="3588" max="3588" width="12.69921875" bestFit="1" customWidth="1"/>
    <col min="3589" max="3589" width="14.5" bestFit="1" customWidth="1"/>
    <col min="3590" max="3590" width="12.69921875" bestFit="1" customWidth="1"/>
    <col min="3591" max="3591" width="12.09765625" bestFit="1" customWidth="1"/>
    <col min="3592" max="3592" width="11.19921875" bestFit="1" customWidth="1"/>
    <col min="3593" max="3594" width="10.59765625" bestFit="1" customWidth="1"/>
    <col min="3595" max="3595" width="8.8984375" bestFit="1" customWidth="1"/>
    <col min="3841" max="3841" width="7.19921875" customWidth="1"/>
    <col min="3842" max="3842" width="10.69921875" bestFit="1" customWidth="1"/>
    <col min="3843" max="3843" width="12.09765625" bestFit="1" customWidth="1"/>
    <col min="3844" max="3844" width="12.69921875" bestFit="1" customWidth="1"/>
    <col min="3845" max="3845" width="14.5" bestFit="1" customWidth="1"/>
    <col min="3846" max="3846" width="12.69921875" bestFit="1" customWidth="1"/>
    <col min="3847" max="3847" width="12.09765625" bestFit="1" customWidth="1"/>
    <col min="3848" max="3848" width="11.19921875" bestFit="1" customWidth="1"/>
    <col min="3849" max="3850" width="10.59765625" bestFit="1" customWidth="1"/>
    <col min="3851" max="3851" width="8.8984375" bestFit="1" customWidth="1"/>
    <col min="4097" max="4097" width="7.19921875" customWidth="1"/>
    <col min="4098" max="4098" width="10.69921875" bestFit="1" customWidth="1"/>
    <col min="4099" max="4099" width="12.09765625" bestFit="1" customWidth="1"/>
    <col min="4100" max="4100" width="12.69921875" bestFit="1" customWidth="1"/>
    <col min="4101" max="4101" width="14.5" bestFit="1" customWidth="1"/>
    <col min="4102" max="4102" width="12.69921875" bestFit="1" customWidth="1"/>
    <col min="4103" max="4103" width="12.09765625" bestFit="1" customWidth="1"/>
    <col min="4104" max="4104" width="11.19921875" bestFit="1" customWidth="1"/>
    <col min="4105" max="4106" width="10.59765625" bestFit="1" customWidth="1"/>
    <col min="4107" max="4107" width="8.8984375" bestFit="1" customWidth="1"/>
    <col min="4353" max="4353" width="7.19921875" customWidth="1"/>
    <col min="4354" max="4354" width="10.69921875" bestFit="1" customWidth="1"/>
    <col min="4355" max="4355" width="12.09765625" bestFit="1" customWidth="1"/>
    <col min="4356" max="4356" width="12.69921875" bestFit="1" customWidth="1"/>
    <col min="4357" max="4357" width="14.5" bestFit="1" customWidth="1"/>
    <col min="4358" max="4358" width="12.69921875" bestFit="1" customWidth="1"/>
    <col min="4359" max="4359" width="12.09765625" bestFit="1" customWidth="1"/>
    <col min="4360" max="4360" width="11.19921875" bestFit="1" customWidth="1"/>
    <col min="4361" max="4362" width="10.59765625" bestFit="1" customWidth="1"/>
    <col min="4363" max="4363" width="8.8984375" bestFit="1" customWidth="1"/>
    <col min="4609" max="4609" width="7.19921875" customWidth="1"/>
    <col min="4610" max="4610" width="10.69921875" bestFit="1" customWidth="1"/>
    <col min="4611" max="4611" width="12.09765625" bestFit="1" customWidth="1"/>
    <col min="4612" max="4612" width="12.69921875" bestFit="1" customWidth="1"/>
    <col min="4613" max="4613" width="14.5" bestFit="1" customWidth="1"/>
    <col min="4614" max="4614" width="12.69921875" bestFit="1" customWidth="1"/>
    <col min="4615" max="4615" width="12.09765625" bestFit="1" customWidth="1"/>
    <col min="4616" max="4616" width="11.19921875" bestFit="1" customWidth="1"/>
    <col min="4617" max="4618" width="10.59765625" bestFit="1" customWidth="1"/>
    <col min="4619" max="4619" width="8.8984375" bestFit="1" customWidth="1"/>
    <col min="4865" max="4865" width="7.19921875" customWidth="1"/>
    <col min="4866" max="4866" width="10.69921875" bestFit="1" customWidth="1"/>
    <col min="4867" max="4867" width="12.09765625" bestFit="1" customWidth="1"/>
    <col min="4868" max="4868" width="12.69921875" bestFit="1" customWidth="1"/>
    <col min="4869" max="4869" width="14.5" bestFit="1" customWidth="1"/>
    <col min="4870" max="4870" width="12.69921875" bestFit="1" customWidth="1"/>
    <col min="4871" max="4871" width="12.09765625" bestFit="1" customWidth="1"/>
    <col min="4872" max="4872" width="11.19921875" bestFit="1" customWidth="1"/>
    <col min="4873" max="4874" width="10.59765625" bestFit="1" customWidth="1"/>
    <col min="4875" max="4875" width="8.8984375" bestFit="1" customWidth="1"/>
    <col min="5121" max="5121" width="7.19921875" customWidth="1"/>
    <col min="5122" max="5122" width="10.69921875" bestFit="1" customWidth="1"/>
    <col min="5123" max="5123" width="12.09765625" bestFit="1" customWidth="1"/>
    <col min="5124" max="5124" width="12.69921875" bestFit="1" customWidth="1"/>
    <col min="5125" max="5125" width="14.5" bestFit="1" customWidth="1"/>
    <col min="5126" max="5126" width="12.69921875" bestFit="1" customWidth="1"/>
    <col min="5127" max="5127" width="12.09765625" bestFit="1" customWidth="1"/>
    <col min="5128" max="5128" width="11.19921875" bestFit="1" customWidth="1"/>
    <col min="5129" max="5130" width="10.59765625" bestFit="1" customWidth="1"/>
    <col min="5131" max="5131" width="8.8984375" bestFit="1" customWidth="1"/>
    <col min="5377" max="5377" width="7.19921875" customWidth="1"/>
    <col min="5378" max="5378" width="10.69921875" bestFit="1" customWidth="1"/>
    <col min="5379" max="5379" width="12.09765625" bestFit="1" customWidth="1"/>
    <col min="5380" max="5380" width="12.69921875" bestFit="1" customWidth="1"/>
    <col min="5381" max="5381" width="14.5" bestFit="1" customWidth="1"/>
    <col min="5382" max="5382" width="12.69921875" bestFit="1" customWidth="1"/>
    <col min="5383" max="5383" width="12.09765625" bestFit="1" customWidth="1"/>
    <col min="5384" max="5384" width="11.19921875" bestFit="1" customWidth="1"/>
    <col min="5385" max="5386" width="10.59765625" bestFit="1" customWidth="1"/>
    <col min="5387" max="5387" width="8.8984375" bestFit="1" customWidth="1"/>
    <col min="5633" max="5633" width="7.19921875" customWidth="1"/>
    <col min="5634" max="5634" width="10.69921875" bestFit="1" customWidth="1"/>
    <col min="5635" max="5635" width="12.09765625" bestFit="1" customWidth="1"/>
    <col min="5636" max="5636" width="12.69921875" bestFit="1" customWidth="1"/>
    <col min="5637" max="5637" width="14.5" bestFit="1" customWidth="1"/>
    <col min="5638" max="5638" width="12.69921875" bestFit="1" customWidth="1"/>
    <col min="5639" max="5639" width="12.09765625" bestFit="1" customWidth="1"/>
    <col min="5640" max="5640" width="11.19921875" bestFit="1" customWidth="1"/>
    <col min="5641" max="5642" width="10.59765625" bestFit="1" customWidth="1"/>
    <col min="5643" max="5643" width="8.8984375" bestFit="1" customWidth="1"/>
    <col min="5889" max="5889" width="7.19921875" customWidth="1"/>
    <col min="5890" max="5890" width="10.69921875" bestFit="1" customWidth="1"/>
    <col min="5891" max="5891" width="12.09765625" bestFit="1" customWidth="1"/>
    <col min="5892" max="5892" width="12.69921875" bestFit="1" customWidth="1"/>
    <col min="5893" max="5893" width="14.5" bestFit="1" customWidth="1"/>
    <col min="5894" max="5894" width="12.69921875" bestFit="1" customWidth="1"/>
    <col min="5895" max="5895" width="12.09765625" bestFit="1" customWidth="1"/>
    <col min="5896" max="5896" width="11.19921875" bestFit="1" customWidth="1"/>
    <col min="5897" max="5898" width="10.59765625" bestFit="1" customWidth="1"/>
    <col min="5899" max="5899" width="8.8984375" bestFit="1" customWidth="1"/>
    <col min="6145" max="6145" width="7.19921875" customWidth="1"/>
    <col min="6146" max="6146" width="10.69921875" bestFit="1" customWidth="1"/>
    <col min="6147" max="6147" width="12.09765625" bestFit="1" customWidth="1"/>
    <col min="6148" max="6148" width="12.69921875" bestFit="1" customWidth="1"/>
    <col min="6149" max="6149" width="14.5" bestFit="1" customWidth="1"/>
    <col min="6150" max="6150" width="12.69921875" bestFit="1" customWidth="1"/>
    <col min="6151" max="6151" width="12.09765625" bestFit="1" customWidth="1"/>
    <col min="6152" max="6152" width="11.19921875" bestFit="1" customWidth="1"/>
    <col min="6153" max="6154" width="10.59765625" bestFit="1" customWidth="1"/>
    <col min="6155" max="6155" width="8.8984375" bestFit="1" customWidth="1"/>
    <col min="6401" max="6401" width="7.19921875" customWidth="1"/>
    <col min="6402" max="6402" width="10.69921875" bestFit="1" customWidth="1"/>
    <col min="6403" max="6403" width="12.09765625" bestFit="1" customWidth="1"/>
    <col min="6404" max="6404" width="12.69921875" bestFit="1" customWidth="1"/>
    <col min="6405" max="6405" width="14.5" bestFit="1" customWidth="1"/>
    <col min="6406" max="6406" width="12.69921875" bestFit="1" customWidth="1"/>
    <col min="6407" max="6407" width="12.09765625" bestFit="1" customWidth="1"/>
    <col min="6408" max="6408" width="11.19921875" bestFit="1" customWidth="1"/>
    <col min="6409" max="6410" width="10.59765625" bestFit="1" customWidth="1"/>
    <col min="6411" max="6411" width="8.8984375" bestFit="1" customWidth="1"/>
    <col min="6657" max="6657" width="7.19921875" customWidth="1"/>
    <col min="6658" max="6658" width="10.69921875" bestFit="1" customWidth="1"/>
    <col min="6659" max="6659" width="12.09765625" bestFit="1" customWidth="1"/>
    <col min="6660" max="6660" width="12.69921875" bestFit="1" customWidth="1"/>
    <col min="6661" max="6661" width="14.5" bestFit="1" customWidth="1"/>
    <col min="6662" max="6662" width="12.69921875" bestFit="1" customWidth="1"/>
    <col min="6663" max="6663" width="12.09765625" bestFit="1" customWidth="1"/>
    <col min="6664" max="6664" width="11.19921875" bestFit="1" customWidth="1"/>
    <col min="6665" max="6666" width="10.59765625" bestFit="1" customWidth="1"/>
    <col min="6667" max="6667" width="8.8984375" bestFit="1" customWidth="1"/>
    <col min="6913" max="6913" width="7.19921875" customWidth="1"/>
    <col min="6914" max="6914" width="10.69921875" bestFit="1" customWidth="1"/>
    <col min="6915" max="6915" width="12.09765625" bestFit="1" customWidth="1"/>
    <col min="6916" max="6916" width="12.69921875" bestFit="1" customWidth="1"/>
    <col min="6917" max="6917" width="14.5" bestFit="1" customWidth="1"/>
    <col min="6918" max="6918" width="12.69921875" bestFit="1" customWidth="1"/>
    <col min="6919" max="6919" width="12.09765625" bestFit="1" customWidth="1"/>
    <col min="6920" max="6920" width="11.19921875" bestFit="1" customWidth="1"/>
    <col min="6921" max="6922" width="10.59765625" bestFit="1" customWidth="1"/>
    <col min="6923" max="6923" width="8.8984375" bestFit="1" customWidth="1"/>
    <col min="7169" max="7169" width="7.19921875" customWidth="1"/>
    <col min="7170" max="7170" width="10.69921875" bestFit="1" customWidth="1"/>
    <col min="7171" max="7171" width="12.09765625" bestFit="1" customWidth="1"/>
    <col min="7172" max="7172" width="12.69921875" bestFit="1" customWidth="1"/>
    <col min="7173" max="7173" width="14.5" bestFit="1" customWidth="1"/>
    <col min="7174" max="7174" width="12.69921875" bestFit="1" customWidth="1"/>
    <col min="7175" max="7175" width="12.09765625" bestFit="1" customWidth="1"/>
    <col min="7176" max="7176" width="11.19921875" bestFit="1" customWidth="1"/>
    <col min="7177" max="7178" width="10.59765625" bestFit="1" customWidth="1"/>
    <col min="7179" max="7179" width="8.8984375" bestFit="1" customWidth="1"/>
    <col min="7425" max="7425" width="7.19921875" customWidth="1"/>
    <col min="7426" max="7426" width="10.69921875" bestFit="1" customWidth="1"/>
    <col min="7427" max="7427" width="12.09765625" bestFit="1" customWidth="1"/>
    <col min="7428" max="7428" width="12.69921875" bestFit="1" customWidth="1"/>
    <col min="7429" max="7429" width="14.5" bestFit="1" customWidth="1"/>
    <col min="7430" max="7430" width="12.69921875" bestFit="1" customWidth="1"/>
    <col min="7431" max="7431" width="12.09765625" bestFit="1" customWidth="1"/>
    <col min="7432" max="7432" width="11.19921875" bestFit="1" customWidth="1"/>
    <col min="7433" max="7434" width="10.59765625" bestFit="1" customWidth="1"/>
    <col min="7435" max="7435" width="8.8984375" bestFit="1" customWidth="1"/>
    <col min="7681" max="7681" width="7.19921875" customWidth="1"/>
    <col min="7682" max="7682" width="10.69921875" bestFit="1" customWidth="1"/>
    <col min="7683" max="7683" width="12.09765625" bestFit="1" customWidth="1"/>
    <col min="7684" max="7684" width="12.69921875" bestFit="1" customWidth="1"/>
    <col min="7685" max="7685" width="14.5" bestFit="1" customWidth="1"/>
    <col min="7686" max="7686" width="12.69921875" bestFit="1" customWidth="1"/>
    <col min="7687" max="7687" width="12.09765625" bestFit="1" customWidth="1"/>
    <col min="7688" max="7688" width="11.19921875" bestFit="1" customWidth="1"/>
    <col min="7689" max="7690" width="10.59765625" bestFit="1" customWidth="1"/>
    <col min="7691" max="7691" width="8.8984375" bestFit="1" customWidth="1"/>
    <col min="7937" max="7937" width="7.19921875" customWidth="1"/>
    <col min="7938" max="7938" width="10.69921875" bestFit="1" customWidth="1"/>
    <col min="7939" max="7939" width="12.09765625" bestFit="1" customWidth="1"/>
    <col min="7940" max="7940" width="12.69921875" bestFit="1" customWidth="1"/>
    <col min="7941" max="7941" width="14.5" bestFit="1" customWidth="1"/>
    <col min="7942" max="7942" width="12.69921875" bestFit="1" customWidth="1"/>
    <col min="7943" max="7943" width="12.09765625" bestFit="1" customWidth="1"/>
    <col min="7944" max="7944" width="11.19921875" bestFit="1" customWidth="1"/>
    <col min="7945" max="7946" width="10.59765625" bestFit="1" customWidth="1"/>
    <col min="7947" max="7947" width="8.8984375" bestFit="1" customWidth="1"/>
    <col min="8193" max="8193" width="7.19921875" customWidth="1"/>
    <col min="8194" max="8194" width="10.69921875" bestFit="1" customWidth="1"/>
    <col min="8195" max="8195" width="12.09765625" bestFit="1" customWidth="1"/>
    <col min="8196" max="8196" width="12.69921875" bestFit="1" customWidth="1"/>
    <col min="8197" max="8197" width="14.5" bestFit="1" customWidth="1"/>
    <col min="8198" max="8198" width="12.69921875" bestFit="1" customWidth="1"/>
    <col min="8199" max="8199" width="12.09765625" bestFit="1" customWidth="1"/>
    <col min="8200" max="8200" width="11.19921875" bestFit="1" customWidth="1"/>
    <col min="8201" max="8202" width="10.59765625" bestFit="1" customWidth="1"/>
    <col min="8203" max="8203" width="8.8984375" bestFit="1" customWidth="1"/>
    <col min="8449" max="8449" width="7.19921875" customWidth="1"/>
    <col min="8450" max="8450" width="10.69921875" bestFit="1" customWidth="1"/>
    <col min="8451" max="8451" width="12.09765625" bestFit="1" customWidth="1"/>
    <col min="8452" max="8452" width="12.69921875" bestFit="1" customWidth="1"/>
    <col min="8453" max="8453" width="14.5" bestFit="1" customWidth="1"/>
    <col min="8454" max="8454" width="12.69921875" bestFit="1" customWidth="1"/>
    <col min="8455" max="8455" width="12.09765625" bestFit="1" customWidth="1"/>
    <col min="8456" max="8456" width="11.19921875" bestFit="1" customWidth="1"/>
    <col min="8457" max="8458" width="10.59765625" bestFit="1" customWidth="1"/>
    <col min="8459" max="8459" width="8.8984375" bestFit="1" customWidth="1"/>
    <col min="8705" max="8705" width="7.19921875" customWidth="1"/>
    <col min="8706" max="8706" width="10.69921875" bestFit="1" customWidth="1"/>
    <col min="8707" max="8707" width="12.09765625" bestFit="1" customWidth="1"/>
    <col min="8708" max="8708" width="12.69921875" bestFit="1" customWidth="1"/>
    <col min="8709" max="8709" width="14.5" bestFit="1" customWidth="1"/>
    <col min="8710" max="8710" width="12.69921875" bestFit="1" customWidth="1"/>
    <col min="8711" max="8711" width="12.09765625" bestFit="1" customWidth="1"/>
    <col min="8712" max="8712" width="11.19921875" bestFit="1" customWidth="1"/>
    <col min="8713" max="8714" width="10.59765625" bestFit="1" customWidth="1"/>
    <col min="8715" max="8715" width="8.8984375" bestFit="1" customWidth="1"/>
    <col min="8961" max="8961" width="7.19921875" customWidth="1"/>
    <col min="8962" max="8962" width="10.69921875" bestFit="1" customWidth="1"/>
    <col min="8963" max="8963" width="12.09765625" bestFit="1" customWidth="1"/>
    <col min="8964" max="8964" width="12.69921875" bestFit="1" customWidth="1"/>
    <col min="8965" max="8965" width="14.5" bestFit="1" customWidth="1"/>
    <col min="8966" max="8966" width="12.69921875" bestFit="1" customWidth="1"/>
    <col min="8967" max="8967" width="12.09765625" bestFit="1" customWidth="1"/>
    <col min="8968" max="8968" width="11.19921875" bestFit="1" customWidth="1"/>
    <col min="8969" max="8970" width="10.59765625" bestFit="1" customWidth="1"/>
    <col min="8971" max="8971" width="8.8984375" bestFit="1" customWidth="1"/>
    <col min="9217" max="9217" width="7.19921875" customWidth="1"/>
    <col min="9218" max="9218" width="10.69921875" bestFit="1" customWidth="1"/>
    <col min="9219" max="9219" width="12.09765625" bestFit="1" customWidth="1"/>
    <col min="9220" max="9220" width="12.69921875" bestFit="1" customWidth="1"/>
    <col min="9221" max="9221" width="14.5" bestFit="1" customWidth="1"/>
    <col min="9222" max="9222" width="12.69921875" bestFit="1" customWidth="1"/>
    <col min="9223" max="9223" width="12.09765625" bestFit="1" customWidth="1"/>
    <col min="9224" max="9224" width="11.19921875" bestFit="1" customWidth="1"/>
    <col min="9225" max="9226" width="10.59765625" bestFit="1" customWidth="1"/>
    <col min="9227" max="9227" width="8.8984375" bestFit="1" customWidth="1"/>
    <col min="9473" max="9473" width="7.19921875" customWidth="1"/>
    <col min="9474" max="9474" width="10.69921875" bestFit="1" customWidth="1"/>
    <col min="9475" max="9475" width="12.09765625" bestFit="1" customWidth="1"/>
    <col min="9476" max="9476" width="12.69921875" bestFit="1" customWidth="1"/>
    <col min="9477" max="9477" width="14.5" bestFit="1" customWidth="1"/>
    <col min="9478" max="9478" width="12.69921875" bestFit="1" customWidth="1"/>
    <col min="9479" max="9479" width="12.09765625" bestFit="1" customWidth="1"/>
    <col min="9480" max="9480" width="11.19921875" bestFit="1" customWidth="1"/>
    <col min="9481" max="9482" width="10.59765625" bestFit="1" customWidth="1"/>
    <col min="9483" max="9483" width="8.8984375" bestFit="1" customWidth="1"/>
    <col min="9729" max="9729" width="7.19921875" customWidth="1"/>
    <col min="9730" max="9730" width="10.69921875" bestFit="1" customWidth="1"/>
    <col min="9731" max="9731" width="12.09765625" bestFit="1" customWidth="1"/>
    <col min="9732" max="9732" width="12.69921875" bestFit="1" customWidth="1"/>
    <col min="9733" max="9733" width="14.5" bestFit="1" customWidth="1"/>
    <col min="9734" max="9734" width="12.69921875" bestFit="1" customWidth="1"/>
    <col min="9735" max="9735" width="12.09765625" bestFit="1" customWidth="1"/>
    <col min="9736" max="9736" width="11.19921875" bestFit="1" customWidth="1"/>
    <col min="9737" max="9738" width="10.59765625" bestFit="1" customWidth="1"/>
    <col min="9739" max="9739" width="8.8984375" bestFit="1" customWidth="1"/>
    <col min="9985" max="9985" width="7.19921875" customWidth="1"/>
    <col min="9986" max="9986" width="10.69921875" bestFit="1" customWidth="1"/>
    <col min="9987" max="9987" width="12.09765625" bestFit="1" customWidth="1"/>
    <col min="9988" max="9988" width="12.69921875" bestFit="1" customWidth="1"/>
    <col min="9989" max="9989" width="14.5" bestFit="1" customWidth="1"/>
    <col min="9990" max="9990" width="12.69921875" bestFit="1" customWidth="1"/>
    <col min="9991" max="9991" width="12.09765625" bestFit="1" customWidth="1"/>
    <col min="9992" max="9992" width="11.19921875" bestFit="1" customWidth="1"/>
    <col min="9993" max="9994" width="10.59765625" bestFit="1" customWidth="1"/>
    <col min="9995" max="9995" width="8.8984375" bestFit="1" customWidth="1"/>
    <col min="10241" max="10241" width="7.19921875" customWidth="1"/>
    <col min="10242" max="10242" width="10.69921875" bestFit="1" customWidth="1"/>
    <col min="10243" max="10243" width="12.09765625" bestFit="1" customWidth="1"/>
    <col min="10244" max="10244" width="12.69921875" bestFit="1" customWidth="1"/>
    <col min="10245" max="10245" width="14.5" bestFit="1" customWidth="1"/>
    <col min="10246" max="10246" width="12.69921875" bestFit="1" customWidth="1"/>
    <col min="10247" max="10247" width="12.09765625" bestFit="1" customWidth="1"/>
    <col min="10248" max="10248" width="11.19921875" bestFit="1" customWidth="1"/>
    <col min="10249" max="10250" width="10.59765625" bestFit="1" customWidth="1"/>
    <col min="10251" max="10251" width="8.8984375" bestFit="1" customWidth="1"/>
    <col min="10497" max="10497" width="7.19921875" customWidth="1"/>
    <col min="10498" max="10498" width="10.69921875" bestFit="1" customWidth="1"/>
    <col min="10499" max="10499" width="12.09765625" bestFit="1" customWidth="1"/>
    <col min="10500" max="10500" width="12.69921875" bestFit="1" customWidth="1"/>
    <col min="10501" max="10501" width="14.5" bestFit="1" customWidth="1"/>
    <col min="10502" max="10502" width="12.69921875" bestFit="1" customWidth="1"/>
    <col min="10503" max="10503" width="12.09765625" bestFit="1" customWidth="1"/>
    <col min="10504" max="10504" width="11.19921875" bestFit="1" customWidth="1"/>
    <col min="10505" max="10506" width="10.59765625" bestFit="1" customWidth="1"/>
    <col min="10507" max="10507" width="8.8984375" bestFit="1" customWidth="1"/>
    <col min="10753" max="10753" width="7.19921875" customWidth="1"/>
    <col min="10754" max="10754" width="10.69921875" bestFit="1" customWidth="1"/>
    <col min="10755" max="10755" width="12.09765625" bestFit="1" customWidth="1"/>
    <col min="10756" max="10756" width="12.69921875" bestFit="1" customWidth="1"/>
    <col min="10757" max="10757" width="14.5" bestFit="1" customWidth="1"/>
    <col min="10758" max="10758" width="12.69921875" bestFit="1" customWidth="1"/>
    <col min="10759" max="10759" width="12.09765625" bestFit="1" customWidth="1"/>
    <col min="10760" max="10760" width="11.19921875" bestFit="1" customWidth="1"/>
    <col min="10761" max="10762" width="10.59765625" bestFit="1" customWidth="1"/>
    <col min="10763" max="10763" width="8.8984375" bestFit="1" customWidth="1"/>
    <col min="11009" max="11009" width="7.19921875" customWidth="1"/>
    <col min="11010" max="11010" width="10.69921875" bestFit="1" customWidth="1"/>
    <col min="11011" max="11011" width="12.09765625" bestFit="1" customWidth="1"/>
    <col min="11012" max="11012" width="12.69921875" bestFit="1" customWidth="1"/>
    <col min="11013" max="11013" width="14.5" bestFit="1" customWidth="1"/>
    <col min="11014" max="11014" width="12.69921875" bestFit="1" customWidth="1"/>
    <col min="11015" max="11015" width="12.09765625" bestFit="1" customWidth="1"/>
    <col min="11016" max="11016" width="11.19921875" bestFit="1" customWidth="1"/>
    <col min="11017" max="11018" width="10.59765625" bestFit="1" customWidth="1"/>
    <col min="11019" max="11019" width="8.8984375" bestFit="1" customWidth="1"/>
    <col min="11265" max="11265" width="7.19921875" customWidth="1"/>
    <col min="11266" max="11266" width="10.69921875" bestFit="1" customWidth="1"/>
    <col min="11267" max="11267" width="12.09765625" bestFit="1" customWidth="1"/>
    <col min="11268" max="11268" width="12.69921875" bestFit="1" customWidth="1"/>
    <col min="11269" max="11269" width="14.5" bestFit="1" customWidth="1"/>
    <col min="11270" max="11270" width="12.69921875" bestFit="1" customWidth="1"/>
    <col min="11271" max="11271" width="12.09765625" bestFit="1" customWidth="1"/>
    <col min="11272" max="11272" width="11.19921875" bestFit="1" customWidth="1"/>
    <col min="11273" max="11274" width="10.59765625" bestFit="1" customWidth="1"/>
    <col min="11275" max="11275" width="8.8984375" bestFit="1" customWidth="1"/>
    <col min="11521" max="11521" width="7.19921875" customWidth="1"/>
    <col min="11522" max="11522" width="10.69921875" bestFit="1" customWidth="1"/>
    <col min="11523" max="11523" width="12.09765625" bestFit="1" customWidth="1"/>
    <col min="11524" max="11524" width="12.69921875" bestFit="1" customWidth="1"/>
    <col min="11525" max="11525" width="14.5" bestFit="1" customWidth="1"/>
    <col min="11526" max="11526" width="12.69921875" bestFit="1" customWidth="1"/>
    <col min="11527" max="11527" width="12.09765625" bestFit="1" customWidth="1"/>
    <col min="11528" max="11528" width="11.19921875" bestFit="1" customWidth="1"/>
    <col min="11529" max="11530" width="10.59765625" bestFit="1" customWidth="1"/>
    <col min="11531" max="11531" width="8.8984375" bestFit="1" customWidth="1"/>
    <col min="11777" max="11777" width="7.19921875" customWidth="1"/>
    <col min="11778" max="11778" width="10.69921875" bestFit="1" customWidth="1"/>
    <col min="11779" max="11779" width="12.09765625" bestFit="1" customWidth="1"/>
    <col min="11780" max="11780" width="12.69921875" bestFit="1" customWidth="1"/>
    <col min="11781" max="11781" width="14.5" bestFit="1" customWidth="1"/>
    <col min="11782" max="11782" width="12.69921875" bestFit="1" customWidth="1"/>
    <col min="11783" max="11783" width="12.09765625" bestFit="1" customWidth="1"/>
    <col min="11784" max="11784" width="11.19921875" bestFit="1" customWidth="1"/>
    <col min="11785" max="11786" width="10.59765625" bestFit="1" customWidth="1"/>
    <col min="11787" max="11787" width="8.8984375" bestFit="1" customWidth="1"/>
    <col min="12033" max="12033" width="7.19921875" customWidth="1"/>
    <col min="12034" max="12034" width="10.69921875" bestFit="1" customWidth="1"/>
    <col min="12035" max="12035" width="12.09765625" bestFit="1" customWidth="1"/>
    <col min="12036" max="12036" width="12.69921875" bestFit="1" customWidth="1"/>
    <col min="12037" max="12037" width="14.5" bestFit="1" customWidth="1"/>
    <col min="12038" max="12038" width="12.69921875" bestFit="1" customWidth="1"/>
    <col min="12039" max="12039" width="12.09765625" bestFit="1" customWidth="1"/>
    <col min="12040" max="12040" width="11.19921875" bestFit="1" customWidth="1"/>
    <col min="12041" max="12042" width="10.59765625" bestFit="1" customWidth="1"/>
    <col min="12043" max="12043" width="8.8984375" bestFit="1" customWidth="1"/>
    <col min="12289" max="12289" width="7.19921875" customWidth="1"/>
    <col min="12290" max="12290" width="10.69921875" bestFit="1" customWidth="1"/>
    <col min="12291" max="12291" width="12.09765625" bestFit="1" customWidth="1"/>
    <col min="12292" max="12292" width="12.69921875" bestFit="1" customWidth="1"/>
    <col min="12293" max="12293" width="14.5" bestFit="1" customWidth="1"/>
    <col min="12294" max="12294" width="12.69921875" bestFit="1" customWidth="1"/>
    <col min="12295" max="12295" width="12.09765625" bestFit="1" customWidth="1"/>
    <col min="12296" max="12296" width="11.19921875" bestFit="1" customWidth="1"/>
    <col min="12297" max="12298" width="10.59765625" bestFit="1" customWidth="1"/>
    <col min="12299" max="12299" width="8.8984375" bestFit="1" customWidth="1"/>
    <col min="12545" max="12545" width="7.19921875" customWidth="1"/>
    <col min="12546" max="12546" width="10.69921875" bestFit="1" customWidth="1"/>
    <col min="12547" max="12547" width="12.09765625" bestFit="1" customWidth="1"/>
    <col min="12548" max="12548" width="12.69921875" bestFit="1" customWidth="1"/>
    <col min="12549" max="12549" width="14.5" bestFit="1" customWidth="1"/>
    <col min="12550" max="12550" width="12.69921875" bestFit="1" customWidth="1"/>
    <col min="12551" max="12551" width="12.09765625" bestFit="1" customWidth="1"/>
    <col min="12552" max="12552" width="11.19921875" bestFit="1" customWidth="1"/>
    <col min="12553" max="12554" width="10.59765625" bestFit="1" customWidth="1"/>
    <col min="12555" max="12555" width="8.8984375" bestFit="1" customWidth="1"/>
    <col min="12801" max="12801" width="7.19921875" customWidth="1"/>
    <col min="12802" max="12802" width="10.69921875" bestFit="1" customWidth="1"/>
    <col min="12803" max="12803" width="12.09765625" bestFit="1" customWidth="1"/>
    <col min="12804" max="12804" width="12.69921875" bestFit="1" customWidth="1"/>
    <col min="12805" max="12805" width="14.5" bestFit="1" customWidth="1"/>
    <col min="12806" max="12806" width="12.69921875" bestFit="1" customWidth="1"/>
    <col min="12807" max="12807" width="12.09765625" bestFit="1" customWidth="1"/>
    <col min="12808" max="12808" width="11.19921875" bestFit="1" customWidth="1"/>
    <col min="12809" max="12810" width="10.59765625" bestFit="1" customWidth="1"/>
    <col min="12811" max="12811" width="8.8984375" bestFit="1" customWidth="1"/>
    <col min="13057" max="13057" width="7.19921875" customWidth="1"/>
    <col min="13058" max="13058" width="10.69921875" bestFit="1" customWidth="1"/>
    <col min="13059" max="13059" width="12.09765625" bestFit="1" customWidth="1"/>
    <col min="13060" max="13060" width="12.69921875" bestFit="1" customWidth="1"/>
    <col min="13061" max="13061" width="14.5" bestFit="1" customWidth="1"/>
    <col min="13062" max="13062" width="12.69921875" bestFit="1" customWidth="1"/>
    <col min="13063" max="13063" width="12.09765625" bestFit="1" customWidth="1"/>
    <col min="13064" max="13064" width="11.19921875" bestFit="1" customWidth="1"/>
    <col min="13065" max="13066" width="10.59765625" bestFit="1" customWidth="1"/>
    <col min="13067" max="13067" width="8.8984375" bestFit="1" customWidth="1"/>
    <col min="13313" max="13313" width="7.19921875" customWidth="1"/>
    <col min="13314" max="13314" width="10.69921875" bestFit="1" customWidth="1"/>
    <col min="13315" max="13315" width="12.09765625" bestFit="1" customWidth="1"/>
    <col min="13316" max="13316" width="12.69921875" bestFit="1" customWidth="1"/>
    <col min="13317" max="13317" width="14.5" bestFit="1" customWidth="1"/>
    <col min="13318" max="13318" width="12.69921875" bestFit="1" customWidth="1"/>
    <col min="13319" max="13319" width="12.09765625" bestFit="1" customWidth="1"/>
    <col min="13320" max="13320" width="11.19921875" bestFit="1" customWidth="1"/>
    <col min="13321" max="13322" width="10.59765625" bestFit="1" customWidth="1"/>
    <col min="13323" max="13323" width="8.8984375" bestFit="1" customWidth="1"/>
    <col min="13569" max="13569" width="7.19921875" customWidth="1"/>
    <col min="13570" max="13570" width="10.69921875" bestFit="1" customWidth="1"/>
    <col min="13571" max="13571" width="12.09765625" bestFit="1" customWidth="1"/>
    <col min="13572" max="13572" width="12.69921875" bestFit="1" customWidth="1"/>
    <col min="13573" max="13573" width="14.5" bestFit="1" customWidth="1"/>
    <col min="13574" max="13574" width="12.69921875" bestFit="1" customWidth="1"/>
    <col min="13575" max="13575" width="12.09765625" bestFit="1" customWidth="1"/>
    <col min="13576" max="13576" width="11.19921875" bestFit="1" customWidth="1"/>
    <col min="13577" max="13578" width="10.59765625" bestFit="1" customWidth="1"/>
    <col min="13579" max="13579" width="8.8984375" bestFit="1" customWidth="1"/>
    <col min="13825" max="13825" width="7.19921875" customWidth="1"/>
    <col min="13826" max="13826" width="10.69921875" bestFit="1" customWidth="1"/>
    <col min="13827" max="13827" width="12.09765625" bestFit="1" customWidth="1"/>
    <col min="13828" max="13828" width="12.69921875" bestFit="1" customWidth="1"/>
    <col min="13829" max="13829" width="14.5" bestFit="1" customWidth="1"/>
    <col min="13830" max="13830" width="12.69921875" bestFit="1" customWidth="1"/>
    <col min="13831" max="13831" width="12.09765625" bestFit="1" customWidth="1"/>
    <col min="13832" max="13832" width="11.19921875" bestFit="1" customWidth="1"/>
    <col min="13833" max="13834" width="10.59765625" bestFit="1" customWidth="1"/>
    <col min="13835" max="13835" width="8.8984375" bestFit="1" customWidth="1"/>
    <col min="14081" max="14081" width="7.19921875" customWidth="1"/>
    <col min="14082" max="14082" width="10.69921875" bestFit="1" customWidth="1"/>
    <col min="14083" max="14083" width="12.09765625" bestFit="1" customWidth="1"/>
    <col min="14084" max="14084" width="12.69921875" bestFit="1" customWidth="1"/>
    <col min="14085" max="14085" width="14.5" bestFit="1" customWidth="1"/>
    <col min="14086" max="14086" width="12.69921875" bestFit="1" customWidth="1"/>
    <col min="14087" max="14087" width="12.09765625" bestFit="1" customWidth="1"/>
    <col min="14088" max="14088" width="11.19921875" bestFit="1" customWidth="1"/>
    <col min="14089" max="14090" width="10.59765625" bestFit="1" customWidth="1"/>
    <col min="14091" max="14091" width="8.8984375" bestFit="1" customWidth="1"/>
    <col min="14337" max="14337" width="7.19921875" customWidth="1"/>
    <col min="14338" max="14338" width="10.69921875" bestFit="1" customWidth="1"/>
    <col min="14339" max="14339" width="12.09765625" bestFit="1" customWidth="1"/>
    <col min="14340" max="14340" width="12.69921875" bestFit="1" customWidth="1"/>
    <col min="14341" max="14341" width="14.5" bestFit="1" customWidth="1"/>
    <col min="14342" max="14342" width="12.69921875" bestFit="1" customWidth="1"/>
    <col min="14343" max="14343" width="12.09765625" bestFit="1" customWidth="1"/>
    <col min="14344" max="14344" width="11.19921875" bestFit="1" customWidth="1"/>
    <col min="14345" max="14346" width="10.59765625" bestFit="1" customWidth="1"/>
    <col min="14347" max="14347" width="8.8984375" bestFit="1" customWidth="1"/>
    <col min="14593" max="14593" width="7.19921875" customWidth="1"/>
    <col min="14594" max="14594" width="10.69921875" bestFit="1" customWidth="1"/>
    <col min="14595" max="14595" width="12.09765625" bestFit="1" customWidth="1"/>
    <col min="14596" max="14596" width="12.69921875" bestFit="1" customWidth="1"/>
    <col min="14597" max="14597" width="14.5" bestFit="1" customWidth="1"/>
    <col min="14598" max="14598" width="12.69921875" bestFit="1" customWidth="1"/>
    <col min="14599" max="14599" width="12.09765625" bestFit="1" customWidth="1"/>
    <col min="14600" max="14600" width="11.19921875" bestFit="1" customWidth="1"/>
    <col min="14601" max="14602" width="10.59765625" bestFit="1" customWidth="1"/>
    <col min="14603" max="14603" width="8.8984375" bestFit="1" customWidth="1"/>
    <col min="14849" max="14849" width="7.19921875" customWidth="1"/>
    <col min="14850" max="14850" width="10.69921875" bestFit="1" customWidth="1"/>
    <col min="14851" max="14851" width="12.09765625" bestFit="1" customWidth="1"/>
    <col min="14852" max="14852" width="12.69921875" bestFit="1" customWidth="1"/>
    <col min="14853" max="14853" width="14.5" bestFit="1" customWidth="1"/>
    <col min="14854" max="14854" width="12.69921875" bestFit="1" customWidth="1"/>
    <col min="14855" max="14855" width="12.09765625" bestFit="1" customWidth="1"/>
    <col min="14856" max="14856" width="11.19921875" bestFit="1" customWidth="1"/>
    <col min="14857" max="14858" width="10.59765625" bestFit="1" customWidth="1"/>
    <col min="14859" max="14859" width="8.8984375" bestFit="1" customWidth="1"/>
    <col min="15105" max="15105" width="7.19921875" customWidth="1"/>
    <col min="15106" max="15106" width="10.69921875" bestFit="1" customWidth="1"/>
    <col min="15107" max="15107" width="12.09765625" bestFit="1" customWidth="1"/>
    <col min="15108" max="15108" width="12.69921875" bestFit="1" customWidth="1"/>
    <col min="15109" max="15109" width="14.5" bestFit="1" customWidth="1"/>
    <col min="15110" max="15110" width="12.69921875" bestFit="1" customWidth="1"/>
    <col min="15111" max="15111" width="12.09765625" bestFit="1" customWidth="1"/>
    <col min="15112" max="15112" width="11.19921875" bestFit="1" customWidth="1"/>
    <col min="15113" max="15114" width="10.59765625" bestFit="1" customWidth="1"/>
    <col min="15115" max="15115" width="8.8984375" bestFit="1" customWidth="1"/>
    <col min="15361" max="15361" width="7.19921875" customWidth="1"/>
    <col min="15362" max="15362" width="10.69921875" bestFit="1" customWidth="1"/>
    <col min="15363" max="15363" width="12.09765625" bestFit="1" customWidth="1"/>
    <col min="15364" max="15364" width="12.69921875" bestFit="1" customWidth="1"/>
    <col min="15365" max="15365" width="14.5" bestFit="1" customWidth="1"/>
    <col min="15366" max="15366" width="12.69921875" bestFit="1" customWidth="1"/>
    <col min="15367" max="15367" width="12.09765625" bestFit="1" customWidth="1"/>
    <col min="15368" max="15368" width="11.19921875" bestFit="1" customWidth="1"/>
    <col min="15369" max="15370" width="10.59765625" bestFit="1" customWidth="1"/>
    <col min="15371" max="15371" width="8.8984375" bestFit="1" customWidth="1"/>
    <col min="15617" max="15617" width="7.19921875" customWidth="1"/>
    <col min="15618" max="15618" width="10.69921875" bestFit="1" customWidth="1"/>
    <col min="15619" max="15619" width="12.09765625" bestFit="1" customWidth="1"/>
    <col min="15620" max="15620" width="12.69921875" bestFit="1" customWidth="1"/>
    <col min="15621" max="15621" width="14.5" bestFit="1" customWidth="1"/>
    <col min="15622" max="15622" width="12.69921875" bestFit="1" customWidth="1"/>
    <col min="15623" max="15623" width="12.09765625" bestFit="1" customWidth="1"/>
    <col min="15624" max="15624" width="11.19921875" bestFit="1" customWidth="1"/>
    <col min="15625" max="15626" width="10.59765625" bestFit="1" customWidth="1"/>
    <col min="15627" max="15627" width="8.8984375" bestFit="1" customWidth="1"/>
    <col min="15873" max="15873" width="7.19921875" customWidth="1"/>
    <col min="15874" max="15874" width="10.69921875" bestFit="1" customWidth="1"/>
    <col min="15875" max="15875" width="12.09765625" bestFit="1" customWidth="1"/>
    <col min="15876" max="15876" width="12.69921875" bestFit="1" customWidth="1"/>
    <col min="15877" max="15877" width="14.5" bestFit="1" customWidth="1"/>
    <col min="15878" max="15878" width="12.69921875" bestFit="1" customWidth="1"/>
    <col min="15879" max="15879" width="12.09765625" bestFit="1" customWidth="1"/>
    <col min="15880" max="15880" width="11.19921875" bestFit="1" customWidth="1"/>
    <col min="15881" max="15882" width="10.59765625" bestFit="1" customWidth="1"/>
    <col min="15883" max="15883" width="8.8984375" bestFit="1" customWidth="1"/>
    <col min="16129" max="16129" width="7.19921875" customWidth="1"/>
    <col min="16130" max="16130" width="10.69921875" bestFit="1" customWidth="1"/>
    <col min="16131" max="16131" width="12.09765625" bestFit="1" customWidth="1"/>
    <col min="16132" max="16132" width="12.69921875" bestFit="1" customWidth="1"/>
    <col min="16133" max="16133" width="14.5" bestFit="1" customWidth="1"/>
    <col min="16134" max="16134" width="12.69921875" bestFit="1" customWidth="1"/>
    <col min="16135" max="16135" width="12.09765625" bestFit="1" customWidth="1"/>
    <col min="16136" max="16136" width="11.19921875" bestFit="1" customWidth="1"/>
    <col min="16137" max="16138" width="10.59765625" bestFit="1" customWidth="1"/>
    <col min="16139" max="16139" width="8.8984375" bestFit="1" customWidth="1"/>
  </cols>
  <sheetData>
    <row r="1" spans="1:13" x14ac:dyDescent="0.3">
      <c r="A1" s="15" t="s">
        <v>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A2" s="13" t="s">
        <v>58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</row>
    <row r="3" spans="1:13" x14ac:dyDescent="0.3">
      <c r="A3" s="13" t="s">
        <v>60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</row>
    <row r="5" spans="1:13" s="1" customFormat="1" x14ac:dyDescent="0.3">
      <c r="A5"/>
      <c r="B5"/>
      <c r="C5" s="5"/>
      <c r="D5" s="5"/>
      <c r="E5" s="5"/>
      <c r="F5" s="5" t="s">
        <v>16</v>
      </c>
      <c r="G5" s="5" t="s">
        <v>9</v>
      </c>
      <c r="H5" s="5" t="s">
        <v>9</v>
      </c>
      <c r="I5" s="5"/>
      <c r="J5" s="5"/>
      <c r="K5" s="5" t="s">
        <v>2</v>
      </c>
      <c r="L5" s="5" t="s">
        <v>29</v>
      </c>
      <c r="M5" s="5" t="s">
        <v>3</v>
      </c>
    </row>
    <row r="6" spans="1:13" s="1" customFormat="1" x14ac:dyDescent="0.3">
      <c r="A6"/>
      <c r="B6"/>
      <c r="C6" s="5" t="s">
        <v>17</v>
      </c>
      <c r="D6" s="5" t="s">
        <v>27</v>
      </c>
      <c r="E6" s="5" t="s">
        <v>0</v>
      </c>
      <c r="F6" s="5" t="s">
        <v>18</v>
      </c>
      <c r="G6" s="5" t="s">
        <v>19</v>
      </c>
      <c r="H6" s="5" t="s">
        <v>20</v>
      </c>
      <c r="I6" s="5" t="s">
        <v>5</v>
      </c>
      <c r="J6" s="7" t="s">
        <v>9</v>
      </c>
      <c r="K6" s="5" t="s">
        <v>6</v>
      </c>
      <c r="L6" s="5" t="s">
        <v>7</v>
      </c>
      <c r="M6" s="5" t="s">
        <v>8</v>
      </c>
    </row>
    <row r="7" spans="1:13" s="1" customFormat="1" x14ac:dyDescent="0.3">
      <c r="A7"/>
      <c r="B7"/>
      <c r="C7" s="5" t="s">
        <v>1</v>
      </c>
      <c r="D7" s="5" t="s">
        <v>21</v>
      </c>
      <c r="E7" s="5" t="s">
        <v>4</v>
      </c>
      <c r="F7" s="5" t="s">
        <v>4</v>
      </c>
      <c r="G7" s="5" t="s">
        <v>22</v>
      </c>
      <c r="H7" s="5" t="s">
        <v>23</v>
      </c>
      <c r="I7" s="5" t="s">
        <v>4</v>
      </c>
      <c r="J7" s="7" t="s">
        <v>24</v>
      </c>
      <c r="K7" s="5" t="s">
        <v>10</v>
      </c>
      <c r="L7" s="5" t="s">
        <v>11</v>
      </c>
      <c r="M7" s="5" t="s">
        <v>11</v>
      </c>
    </row>
    <row r="9" spans="1:13" x14ac:dyDescent="0.3">
      <c r="A9" s="3" t="s">
        <v>13</v>
      </c>
      <c r="B9" s="3"/>
      <c r="C9" s="2"/>
      <c r="D9" s="2"/>
      <c r="E9" s="2"/>
      <c r="F9" s="2"/>
      <c r="G9" s="2"/>
      <c r="H9" s="2"/>
      <c r="I9" s="2"/>
      <c r="K9" s="2"/>
    </row>
    <row r="10" spans="1:13" x14ac:dyDescent="0.3">
      <c r="B10" t="s">
        <v>30</v>
      </c>
      <c r="C10" s="2">
        <v>11849024.35</v>
      </c>
      <c r="D10" s="2">
        <v>0</v>
      </c>
      <c r="E10" s="2">
        <v>0</v>
      </c>
      <c r="F10" s="2">
        <v>0</v>
      </c>
      <c r="G10" s="2">
        <v>16808</v>
      </c>
      <c r="H10" s="2">
        <v>16808</v>
      </c>
      <c r="I10" s="2">
        <v>0</v>
      </c>
      <c r="J10" s="9">
        <v>11882640.35</v>
      </c>
      <c r="K10" s="2">
        <v>1491.02</v>
      </c>
      <c r="L10" s="2">
        <v>11057500</v>
      </c>
      <c r="M10" s="2">
        <v>0</v>
      </c>
    </row>
    <row r="11" spans="1:13" x14ac:dyDescent="0.3">
      <c r="B11" t="s">
        <v>31</v>
      </c>
      <c r="C11" s="2">
        <v>17173163.989999998</v>
      </c>
      <c r="D11" s="2">
        <v>0</v>
      </c>
      <c r="E11" s="2">
        <v>0</v>
      </c>
      <c r="F11" s="2">
        <v>0</v>
      </c>
      <c r="G11" s="2">
        <v>780000</v>
      </c>
      <c r="H11" s="2">
        <v>25525</v>
      </c>
      <c r="I11" s="2">
        <v>28250</v>
      </c>
      <c r="J11" s="9">
        <v>18006938.989999998</v>
      </c>
      <c r="K11" s="2">
        <v>989.86</v>
      </c>
      <c r="L11" s="2">
        <v>13970652.810000001</v>
      </c>
      <c r="M11" s="2">
        <v>0</v>
      </c>
    </row>
    <row r="12" spans="1:13" x14ac:dyDescent="0.3">
      <c r="B12" t="s">
        <v>32</v>
      </c>
      <c r="C12" s="2">
        <v>7162527.3799999999</v>
      </c>
      <c r="D12" s="2">
        <v>0</v>
      </c>
      <c r="E12" s="2">
        <v>0</v>
      </c>
      <c r="F12" s="2">
        <v>0</v>
      </c>
      <c r="G12" s="2">
        <v>169562.67</v>
      </c>
      <c r="H12" s="2">
        <v>258263</v>
      </c>
      <c r="I12" s="2">
        <v>5000</v>
      </c>
      <c r="J12" s="9">
        <v>7595353.0499999998</v>
      </c>
      <c r="K12" s="2">
        <v>32731.57</v>
      </c>
      <c r="L12" s="2">
        <v>0</v>
      </c>
      <c r="M12" s="2">
        <v>0</v>
      </c>
    </row>
    <row r="13" spans="1:13" x14ac:dyDescent="0.3">
      <c r="B13" t="s">
        <v>33</v>
      </c>
      <c r="C13" s="2">
        <v>30526705.150000002</v>
      </c>
      <c r="D13" s="2">
        <v>946961.86999999988</v>
      </c>
      <c r="E13" s="2">
        <v>0</v>
      </c>
      <c r="F13" s="2">
        <v>0</v>
      </c>
      <c r="G13" s="2">
        <v>0</v>
      </c>
      <c r="H13" s="2">
        <v>7115030.0600000005</v>
      </c>
      <c r="I13" s="2">
        <v>10000</v>
      </c>
      <c r="J13" s="9">
        <v>38598697.080000006</v>
      </c>
      <c r="K13" s="2">
        <v>979089.83</v>
      </c>
      <c r="L13" s="2">
        <v>1134.79</v>
      </c>
      <c r="M13" s="2">
        <v>0</v>
      </c>
    </row>
    <row r="14" spans="1:13" x14ac:dyDescent="0.3">
      <c r="B14" t="s">
        <v>34</v>
      </c>
      <c r="C14" s="2">
        <v>1339151.48</v>
      </c>
      <c r="D14" s="2">
        <v>0</v>
      </c>
      <c r="E14" s="2">
        <v>0</v>
      </c>
      <c r="F14" s="2">
        <v>0</v>
      </c>
      <c r="G14" s="2">
        <v>0</v>
      </c>
      <c r="H14" s="2">
        <v>35951.040000000001</v>
      </c>
      <c r="I14" s="2">
        <v>450</v>
      </c>
      <c r="J14" s="9">
        <v>1375552.52</v>
      </c>
      <c r="K14" s="2">
        <v>772.01</v>
      </c>
      <c r="L14" s="2">
        <v>149395.5</v>
      </c>
      <c r="M14" s="2">
        <v>0</v>
      </c>
    </row>
    <row r="15" spans="1:13" x14ac:dyDescent="0.3">
      <c r="B15" t="s">
        <v>35</v>
      </c>
      <c r="C15" s="2">
        <v>50788491.689999998</v>
      </c>
      <c r="D15" s="2">
        <v>0</v>
      </c>
      <c r="E15" s="2">
        <v>0</v>
      </c>
      <c r="F15" s="2">
        <v>0</v>
      </c>
      <c r="G15" s="2">
        <v>0</v>
      </c>
      <c r="H15" s="2">
        <v>5880738.9199999999</v>
      </c>
      <c r="I15" s="2">
        <v>21450</v>
      </c>
      <c r="J15" s="9">
        <v>56690680.609999999</v>
      </c>
      <c r="K15" s="2">
        <v>1687666.89</v>
      </c>
      <c r="L15" s="2">
        <v>0</v>
      </c>
      <c r="M15" s="2">
        <v>0</v>
      </c>
    </row>
    <row r="16" spans="1:13" x14ac:dyDescent="0.3">
      <c r="B16" t="s">
        <v>36</v>
      </c>
      <c r="C16" s="2">
        <v>1441267.79</v>
      </c>
      <c r="D16" s="2">
        <v>0</v>
      </c>
      <c r="E16" s="2">
        <v>0</v>
      </c>
      <c r="F16" s="2">
        <v>0</v>
      </c>
      <c r="G16" s="2">
        <v>0</v>
      </c>
      <c r="H16" s="2">
        <v>7425.9</v>
      </c>
      <c r="I16" s="2">
        <v>3200.34</v>
      </c>
      <c r="J16" s="9">
        <v>1451894.03</v>
      </c>
      <c r="K16" s="2">
        <v>0</v>
      </c>
      <c r="L16" s="2">
        <v>0</v>
      </c>
      <c r="M16" s="2">
        <v>0</v>
      </c>
    </row>
    <row r="17" spans="1:13" x14ac:dyDescent="0.3">
      <c r="B17" t="s">
        <v>37</v>
      </c>
      <c r="C17" s="2">
        <v>1223409.45</v>
      </c>
      <c r="D17" s="2">
        <v>0</v>
      </c>
      <c r="E17" s="2">
        <v>363672.46</v>
      </c>
      <c r="F17" s="2">
        <v>0</v>
      </c>
      <c r="G17" s="2">
        <v>0</v>
      </c>
      <c r="H17" s="2">
        <v>0</v>
      </c>
      <c r="I17" s="2">
        <v>0</v>
      </c>
      <c r="J17" s="9">
        <v>1587081.91</v>
      </c>
      <c r="K17" s="2">
        <v>0</v>
      </c>
      <c r="L17" s="2">
        <v>28171.06</v>
      </c>
      <c r="M17" s="2">
        <v>0</v>
      </c>
    </row>
    <row r="18" spans="1:13" x14ac:dyDescent="0.3">
      <c r="B18" t="s">
        <v>38</v>
      </c>
      <c r="C18" s="2">
        <v>6421590.04</v>
      </c>
      <c r="D18" s="2">
        <v>0</v>
      </c>
      <c r="E18" s="2">
        <v>0</v>
      </c>
      <c r="F18" s="2">
        <v>0</v>
      </c>
      <c r="G18" s="2">
        <v>0</v>
      </c>
      <c r="H18" s="2">
        <v>499951.24</v>
      </c>
      <c r="I18" s="2">
        <v>0</v>
      </c>
      <c r="J18" s="9">
        <v>6921541.2800000003</v>
      </c>
      <c r="K18" s="2">
        <v>229211.83</v>
      </c>
      <c r="L18" s="2">
        <v>126763.6</v>
      </c>
      <c r="M18" s="2">
        <v>0</v>
      </c>
    </row>
    <row r="19" spans="1:13" x14ac:dyDescent="0.3">
      <c r="B19" t="s">
        <v>39</v>
      </c>
      <c r="C19" s="2">
        <v>42060425.159999996</v>
      </c>
      <c r="D19" s="2">
        <v>0</v>
      </c>
      <c r="E19" s="2">
        <v>0</v>
      </c>
      <c r="F19" s="2">
        <v>0</v>
      </c>
      <c r="G19" s="2">
        <v>24018188</v>
      </c>
      <c r="H19" s="2">
        <v>114183.27</v>
      </c>
      <c r="I19" s="2">
        <v>4400</v>
      </c>
      <c r="J19" s="9">
        <v>66197196.43</v>
      </c>
      <c r="K19" s="2">
        <v>0</v>
      </c>
      <c r="L19" s="2">
        <v>0</v>
      </c>
      <c r="M19" s="2">
        <v>0</v>
      </c>
    </row>
    <row r="20" spans="1:13" x14ac:dyDescent="0.3">
      <c r="B20" t="s">
        <v>40</v>
      </c>
      <c r="C20" s="2">
        <v>18904876.189999998</v>
      </c>
      <c r="D20" s="2">
        <v>0</v>
      </c>
      <c r="E20" s="2">
        <v>0</v>
      </c>
      <c r="F20" s="2">
        <v>0</v>
      </c>
      <c r="G20" s="2">
        <v>0</v>
      </c>
      <c r="H20" s="2">
        <v>206955</v>
      </c>
      <c r="I20" s="2">
        <v>3072.5</v>
      </c>
      <c r="J20" s="9">
        <v>19114903.689999998</v>
      </c>
      <c r="K20" s="2">
        <v>13330124.35</v>
      </c>
      <c r="L20" s="2">
        <v>927827.23</v>
      </c>
      <c r="M20" s="2">
        <v>0</v>
      </c>
    </row>
    <row r="21" spans="1:13" x14ac:dyDescent="0.3">
      <c r="B21" t="s">
        <v>41</v>
      </c>
      <c r="C21" s="2">
        <v>1711540.45</v>
      </c>
      <c r="D21" s="2">
        <v>0</v>
      </c>
      <c r="E21" s="2">
        <v>0</v>
      </c>
      <c r="F21" s="2">
        <v>0</v>
      </c>
      <c r="G21" s="2">
        <v>0</v>
      </c>
      <c r="H21" s="2">
        <v>92455.52</v>
      </c>
      <c r="I21" s="2">
        <v>2025.35</v>
      </c>
      <c r="J21" s="9">
        <v>1806021.32</v>
      </c>
      <c r="K21" s="2">
        <v>0</v>
      </c>
      <c r="L21" s="2">
        <v>0</v>
      </c>
      <c r="M21" s="2">
        <v>0</v>
      </c>
    </row>
    <row r="22" spans="1:13" x14ac:dyDescent="0.3">
      <c r="B22" t="s">
        <v>42</v>
      </c>
      <c r="C22" s="2">
        <v>250714850.28</v>
      </c>
      <c r="D22" s="2">
        <v>0</v>
      </c>
      <c r="E22" s="2">
        <v>0</v>
      </c>
      <c r="F22" s="2">
        <v>0</v>
      </c>
      <c r="G22" s="2">
        <v>0</v>
      </c>
      <c r="H22" s="2">
        <v>38490</v>
      </c>
      <c r="I22" s="2">
        <v>4460705</v>
      </c>
      <c r="J22" s="9">
        <v>255214045.28</v>
      </c>
      <c r="K22" s="2">
        <v>119676444.12</v>
      </c>
      <c r="L22" s="2">
        <v>130999.42</v>
      </c>
      <c r="M22" s="2">
        <v>2864905.96</v>
      </c>
    </row>
    <row r="23" spans="1:13" x14ac:dyDescent="0.3">
      <c r="B23" t="s">
        <v>53</v>
      </c>
      <c r="C23" s="2">
        <v>28339939.09</v>
      </c>
      <c r="D23" s="2">
        <v>0</v>
      </c>
      <c r="E23" s="2">
        <v>3938.79</v>
      </c>
      <c r="F23" s="2">
        <v>0</v>
      </c>
      <c r="G23" s="2">
        <v>2129739.44</v>
      </c>
      <c r="H23" s="2">
        <v>11711</v>
      </c>
      <c r="I23" s="2">
        <v>76130.22</v>
      </c>
      <c r="J23" s="9">
        <v>30789375.969999999</v>
      </c>
      <c r="K23" s="2">
        <v>313634.94</v>
      </c>
      <c r="L23" s="2">
        <v>12996652.91</v>
      </c>
      <c r="M23" s="2">
        <v>27051.21</v>
      </c>
    </row>
    <row r="24" spans="1:13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 t="s">
        <v>12</v>
      </c>
      <c r="B25" s="3"/>
      <c r="C25" s="2"/>
      <c r="D25" s="2"/>
      <c r="E25" s="11"/>
      <c r="F25" s="2"/>
      <c r="G25" s="2"/>
      <c r="H25" s="2"/>
      <c r="I25" s="2"/>
      <c r="J25" s="2"/>
      <c r="K25" s="2"/>
      <c r="L25" s="2"/>
      <c r="M25" s="2"/>
    </row>
    <row r="26" spans="1:13" x14ac:dyDescent="0.3">
      <c r="B26" t="s">
        <v>54</v>
      </c>
      <c r="C26" s="2">
        <v>1154408237.54</v>
      </c>
      <c r="D26" s="2">
        <v>67904.42</v>
      </c>
      <c r="E26" s="2">
        <v>0</v>
      </c>
      <c r="F26" s="2">
        <v>0</v>
      </c>
      <c r="G26" s="2">
        <v>0</v>
      </c>
      <c r="H26" s="2">
        <v>9552717.2100000009</v>
      </c>
      <c r="I26" s="2">
        <v>11255425.15</v>
      </c>
      <c r="J26" s="9">
        <v>1175284284.3199999</v>
      </c>
      <c r="K26" s="2">
        <v>1762056.63</v>
      </c>
      <c r="L26" s="2">
        <v>969957.99</v>
      </c>
      <c r="M26" s="2">
        <v>0</v>
      </c>
    </row>
    <row r="27" spans="1:13" x14ac:dyDescent="0.3">
      <c r="B27" t="s">
        <v>43</v>
      </c>
      <c r="C27" s="2">
        <v>7618665.4800000004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9">
        <v>7618665.4800000004</v>
      </c>
      <c r="K27" s="2">
        <v>51649.34</v>
      </c>
      <c r="L27" s="2">
        <v>285000</v>
      </c>
      <c r="M27" s="2">
        <v>0</v>
      </c>
    </row>
    <row r="28" spans="1:13" x14ac:dyDescent="0.3">
      <c r="B28" t="s">
        <v>44</v>
      </c>
      <c r="C28" s="2">
        <v>546250.67000000004</v>
      </c>
      <c r="D28" s="2">
        <v>0</v>
      </c>
      <c r="E28" s="2">
        <v>0</v>
      </c>
      <c r="F28" s="2">
        <v>0</v>
      </c>
      <c r="G28" s="2">
        <v>0</v>
      </c>
      <c r="H28" s="2">
        <v>1463</v>
      </c>
      <c r="I28" s="2">
        <v>0</v>
      </c>
      <c r="J28" s="9">
        <v>547713.67000000004</v>
      </c>
      <c r="K28" s="2">
        <v>0</v>
      </c>
      <c r="L28" s="2">
        <v>291719.75</v>
      </c>
      <c r="M28" s="2">
        <v>0</v>
      </c>
    </row>
    <row r="29" spans="1:13" x14ac:dyDescent="0.3">
      <c r="B29" t="s">
        <v>45</v>
      </c>
      <c r="C29" s="2">
        <v>4807754.3099999996</v>
      </c>
      <c r="D29" s="2">
        <v>0</v>
      </c>
      <c r="E29" s="2">
        <v>287580</v>
      </c>
      <c r="F29" s="2">
        <v>0</v>
      </c>
      <c r="G29" s="2">
        <v>45000</v>
      </c>
      <c r="H29" s="2">
        <v>259848.47</v>
      </c>
      <c r="I29" s="2">
        <v>1331.82</v>
      </c>
      <c r="J29" s="9">
        <v>5401514.5999999996</v>
      </c>
      <c r="K29" s="2">
        <v>3451.93</v>
      </c>
      <c r="L29" s="2">
        <v>1058151.8999999999</v>
      </c>
      <c r="M29" s="2">
        <v>0</v>
      </c>
    </row>
    <row r="30" spans="1:13" x14ac:dyDescent="0.3">
      <c r="B30" t="s">
        <v>56</v>
      </c>
      <c r="C30" s="2">
        <v>1095865.43</v>
      </c>
      <c r="D30" s="2">
        <v>0</v>
      </c>
      <c r="E30" s="2">
        <v>3886.64</v>
      </c>
      <c r="F30" s="2">
        <v>0</v>
      </c>
      <c r="G30" s="2">
        <v>25400</v>
      </c>
      <c r="H30" s="2">
        <v>545.51</v>
      </c>
      <c r="I30" s="2">
        <v>4493.8500000000004</v>
      </c>
      <c r="J30" s="9">
        <v>1130292.43</v>
      </c>
      <c r="K30" s="2">
        <v>18548.82</v>
      </c>
      <c r="L30" s="2">
        <v>690588.81</v>
      </c>
      <c r="M30" s="2">
        <v>550</v>
      </c>
    </row>
    <row r="31" spans="1:13" x14ac:dyDescent="0.3">
      <c r="A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3" t="s">
        <v>5</v>
      </c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3"/>
      <c r="B33" t="s">
        <v>52</v>
      </c>
      <c r="C33" s="2">
        <v>146413.56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9">
        <v>146413.56</v>
      </c>
      <c r="K33" s="2">
        <v>22622.79</v>
      </c>
      <c r="L33" s="2">
        <v>0</v>
      </c>
      <c r="M33" s="2">
        <v>0</v>
      </c>
    </row>
    <row r="34" spans="1:13" x14ac:dyDescent="0.3">
      <c r="A34" s="3"/>
      <c r="B34" t="s">
        <v>49</v>
      </c>
      <c r="C34" s="2">
        <v>387235.05</v>
      </c>
      <c r="D34" s="2">
        <v>0</v>
      </c>
      <c r="E34" s="2">
        <v>0</v>
      </c>
      <c r="F34" s="2">
        <v>0</v>
      </c>
      <c r="G34" s="2">
        <v>0</v>
      </c>
      <c r="H34" s="2">
        <v>203</v>
      </c>
      <c r="I34" s="2">
        <v>208.21</v>
      </c>
      <c r="J34" s="9">
        <v>387646.26</v>
      </c>
      <c r="K34" s="2">
        <v>0</v>
      </c>
      <c r="L34" s="2">
        <v>0</v>
      </c>
      <c r="M34" s="2">
        <v>0</v>
      </c>
    </row>
    <row r="35" spans="1:13" x14ac:dyDescent="0.3">
      <c r="A35" s="3"/>
      <c r="B35" t="s">
        <v>47</v>
      </c>
      <c r="C35" s="2">
        <v>64263126.600000001</v>
      </c>
      <c r="D35" s="2">
        <v>0</v>
      </c>
      <c r="E35" s="2">
        <v>0</v>
      </c>
      <c r="F35" s="2">
        <v>0</v>
      </c>
      <c r="G35" s="2">
        <v>0</v>
      </c>
      <c r="H35" s="2">
        <v>2042603.19</v>
      </c>
      <c r="I35" s="2">
        <v>233339.57</v>
      </c>
      <c r="J35" s="9">
        <v>66539069.359999999</v>
      </c>
      <c r="K35" s="2">
        <v>739177.91</v>
      </c>
      <c r="L35" s="2">
        <v>1924500.95</v>
      </c>
      <c r="M35" s="2">
        <v>0</v>
      </c>
    </row>
    <row r="36" spans="1:13" x14ac:dyDescent="0.3">
      <c r="A36" s="3"/>
      <c r="B36" t="s">
        <v>50</v>
      </c>
      <c r="C36" s="2">
        <v>445412.78</v>
      </c>
      <c r="D36" s="2">
        <v>0</v>
      </c>
      <c r="E36" s="2">
        <v>34484.65</v>
      </c>
      <c r="F36" s="2">
        <v>0</v>
      </c>
      <c r="G36" s="2">
        <v>0</v>
      </c>
      <c r="H36" s="2">
        <v>0</v>
      </c>
      <c r="I36" s="2">
        <v>0</v>
      </c>
      <c r="J36" s="9">
        <v>479897.43</v>
      </c>
      <c r="K36" s="2">
        <v>2092.42</v>
      </c>
      <c r="L36" s="2">
        <v>50674.63</v>
      </c>
      <c r="M36" s="2">
        <v>0</v>
      </c>
    </row>
    <row r="37" spans="1:13" x14ac:dyDescent="0.3">
      <c r="A37" s="3"/>
      <c r="B37" t="s">
        <v>46</v>
      </c>
      <c r="C37" s="2">
        <v>3506860.24</v>
      </c>
      <c r="D37" s="2">
        <v>0</v>
      </c>
      <c r="E37" s="2">
        <v>0</v>
      </c>
      <c r="F37" s="2">
        <v>0</v>
      </c>
      <c r="G37" s="2">
        <v>0</v>
      </c>
      <c r="H37" s="2">
        <v>27614.81</v>
      </c>
      <c r="I37" s="2">
        <v>50340</v>
      </c>
      <c r="J37" s="9">
        <v>3584815.05</v>
      </c>
      <c r="K37" s="2">
        <v>-41890.879999999997</v>
      </c>
      <c r="L37" s="2">
        <v>43010</v>
      </c>
      <c r="M37" s="2">
        <v>0</v>
      </c>
    </row>
    <row r="38" spans="1:13" x14ac:dyDescent="0.3">
      <c r="A38" s="3"/>
      <c r="B38" t="s">
        <v>51</v>
      </c>
      <c r="C38" s="2">
        <v>620244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9">
        <v>620244</v>
      </c>
      <c r="K38" s="2">
        <v>-23701.27</v>
      </c>
      <c r="L38" s="2">
        <v>12500</v>
      </c>
      <c r="M38" s="2">
        <v>0</v>
      </c>
    </row>
    <row r="39" spans="1:13" x14ac:dyDescent="0.3">
      <c r="A39" s="3"/>
      <c r="B39" t="s">
        <v>48</v>
      </c>
      <c r="C39" s="2">
        <v>1312559.6100000001</v>
      </c>
      <c r="D39" s="2">
        <v>0</v>
      </c>
      <c r="E39" s="2">
        <v>0</v>
      </c>
      <c r="F39" s="2">
        <v>0</v>
      </c>
      <c r="G39" s="2">
        <v>0</v>
      </c>
      <c r="H39" s="2">
        <v>83523.45</v>
      </c>
      <c r="I39" s="2">
        <v>0</v>
      </c>
      <c r="J39" s="9">
        <v>1396083.06</v>
      </c>
      <c r="K39" s="2">
        <v>2238.0300000000002</v>
      </c>
      <c r="L39" s="2">
        <v>72604.55</v>
      </c>
      <c r="M39" s="2">
        <v>0</v>
      </c>
    </row>
    <row r="40" spans="1:13" x14ac:dyDescent="0.3">
      <c r="A40" s="3"/>
      <c r="B40" t="s">
        <v>57</v>
      </c>
      <c r="C40" s="2">
        <v>13691919.720000001</v>
      </c>
      <c r="D40" s="2">
        <v>3197.41</v>
      </c>
      <c r="E40" s="2">
        <v>48378.22</v>
      </c>
      <c r="F40" s="2">
        <v>0</v>
      </c>
      <c r="G40" s="2">
        <v>383045.16</v>
      </c>
      <c r="H40" s="2">
        <v>2037677.51</v>
      </c>
      <c r="I40" s="2">
        <v>133619.68</v>
      </c>
      <c r="J40" s="9">
        <v>16290140.16</v>
      </c>
      <c r="K40" s="2">
        <v>212032.56</v>
      </c>
      <c r="L40" s="2">
        <v>4504936.66</v>
      </c>
      <c r="M40" s="2">
        <v>150000</v>
      </c>
    </row>
    <row r="41" spans="1:13" x14ac:dyDescent="0.3">
      <c r="A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3" t="s">
        <v>26</v>
      </c>
      <c r="B44" s="3"/>
      <c r="C44" s="2">
        <f>SUM(C10:C23)</f>
        <v>469656962.48999995</v>
      </c>
      <c r="D44" s="2">
        <f t="shared" ref="D44:M44" si="0">SUM(D10:D23)</f>
        <v>946961.86999999988</v>
      </c>
      <c r="E44" s="2">
        <f t="shared" si="0"/>
        <v>367611.25</v>
      </c>
      <c r="F44" s="2">
        <f t="shared" si="0"/>
        <v>0</v>
      </c>
      <c r="G44" s="2">
        <f t="shared" si="0"/>
        <v>27114298.110000003</v>
      </c>
      <c r="H44" s="2">
        <f t="shared" si="0"/>
        <v>14303487.949999999</v>
      </c>
      <c r="I44" s="2">
        <f t="shared" si="0"/>
        <v>4614683.41</v>
      </c>
      <c r="J44" s="9">
        <f t="shared" si="0"/>
        <v>517231922.50999999</v>
      </c>
      <c r="K44" s="2">
        <f t="shared" si="0"/>
        <v>136252156.42000002</v>
      </c>
      <c r="L44" s="2">
        <f t="shared" si="0"/>
        <v>39389097.320000008</v>
      </c>
      <c r="M44" s="2">
        <f t="shared" si="0"/>
        <v>2891957.17</v>
      </c>
    </row>
    <row r="45" spans="1:13" x14ac:dyDescent="0.3">
      <c r="A45" s="3" t="s">
        <v>14</v>
      </c>
      <c r="B45" s="3"/>
      <c r="C45" s="2">
        <f>SUM(C26:C30)</f>
        <v>1168476773.4300001</v>
      </c>
      <c r="D45" s="2">
        <f t="shared" ref="D45:M45" si="1">SUM(D26:D30)</f>
        <v>67904.42</v>
      </c>
      <c r="E45" s="2">
        <f t="shared" si="1"/>
        <v>291466.64</v>
      </c>
      <c r="F45" s="2">
        <f t="shared" si="1"/>
        <v>0</v>
      </c>
      <c r="G45" s="2">
        <f t="shared" si="1"/>
        <v>70400</v>
      </c>
      <c r="H45" s="2">
        <f t="shared" si="1"/>
        <v>9814574.1900000013</v>
      </c>
      <c r="I45" s="2">
        <f t="shared" si="1"/>
        <v>11261250.82</v>
      </c>
      <c r="J45" s="9">
        <f t="shared" si="1"/>
        <v>1189982470.5</v>
      </c>
      <c r="K45" s="2">
        <f t="shared" si="1"/>
        <v>1835706.72</v>
      </c>
      <c r="L45" s="2">
        <f t="shared" si="1"/>
        <v>3295418.4499999997</v>
      </c>
      <c r="M45" s="2">
        <f t="shared" si="1"/>
        <v>550</v>
      </c>
    </row>
    <row r="46" spans="1:13" x14ac:dyDescent="0.3">
      <c r="A46" s="3" t="s">
        <v>25</v>
      </c>
      <c r="B46" s="3"/>
      <c r="C46" s="2">
        <f>SUM(C33:C40)</f>
        <v>84373771.560000002</v>
      </c>
      <c r="D46" s="2">
        <f t="shared" ref="D46:M46" si="2">SUM(D33:D40)</f>
        <v>3197.41</v>
      </c>
      <c r="E46" s="2">
        <f t="shared" si="2"/>
        <v>82862.87</v>
      </c>
      <c r="F46" s="2">
        <f t="shared" si="2"/>
        <v>0</v>
      </c>
      <c r="G46" s="2">
        <f t="shared" si="2"/>
        <v>383045.16</v>
      </c>
      <c r="H46" s="2">
        <f t="shared" si="2"/>
        <v>4191621.96</v>
      </c>
      <c r="I46" s="2">
        <f t="shared" si="2"/>
        <v>417507.46</v>
      </c>
      <c r="J46" s="9">
        <f t="shared" si="2"/>
        <v>89444308.879999995</v>
      </c>
      <c r="K46" s="2">
        <f t="shared" si="2"/>
        <v>912571.56</v>
      </c>
      <c r="L46" s="2">
        <f t="shared" si="2"/>
        <v>6608226.79</v>
      </c>
      <c r="M46" s="2">
        <f t="shared" si="2"/>
        <v>150000</v>
      </c>
    </row>
    <row r="47" spans="1:13" x14ac:dyDescent="0.3">
      <c r="A47" s="3"/>
      <c r="B47" s="3"/>
      <c r="C47" s="2"/>
      <c r="D47" s="2"/>
      <c r="E47" s="2"/>
      <c r="F47" s="2"/>
      <c r="G47" s="6"/>
      <c r="H47" s="2"/>
      <c r="I47" s="2"/>
      <c r="J47" s="2"/>
      <c r="K47" s="2"/>
      <c r="L47" s="2"/>
      <c r="M47" s="2"/>
    </row>
    <row r="48" spans="1:13" x14ac:dyDescent="0.3">
      <c r="A48" s="3" t="s">
        <v>15</v>
      </c>
      <c r="B48" s="3"/>
      <c r="C48" s="4">
        <f t="shared" ref="C48:M48" si="3">SUM(C44:C46)</f>
        <v>1722507507.48</v>
      </c>
      <c r="D48" s="4">
        <f t="shared" si="3"/>
        <v>1018063.7</v>
      </c>
      <c r="E48" s="4">
        <f t="shared" si="3"/>
        <v>741940.76</v>
      </c>
      <c r="F48" s="4">
        <f t="shared" si="3"/>
        <v>0</v>
      </c>
      <c r="G48" s="4">
        <f t="shared" si="3"/>
        <v>27567743.270000003</v>
      </c>
      <c r="H48" s="4">
        <f t="shared" si="3"/>
        <v>28309684.100000001</v>
      </c>
      <c r="I48" s="4">
        <f t="shared" si="3"/>
        <v>16293441.690000001</v>
      </c>
      <c r="J48" s="10">
        <f t="shared" si="3"/>
        <v>1796658701.8899999</v>
      </c>
      <c r="K48" s="4">
        <f t="shared" si="3"/>
        <v>139000434.70000002</v>
      </c>
      <c r="L48" s="4">
        <f t="shared" si="3"/>
        <v>49292742.56000001</v>
      </c>
      <c r="M48" s="4">
        <f t="shared" si="3"/>
        <v>3042507.17</v>
      </c>
    </row>
    <row r="50" spans="1:13" x14ac:dyDescent="0.3">
      <c r="A50" s="8" t="s">
        <v>28</v>
      </c>
    </row>
    <row r="51" spans="1:13" x14ac:dyDescent="0.3">
      <c r="A51" s="12" t="s">
        <v>55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3"/>
      <c r="B61" s="3"/>
      <c r="C61" s="2"/>
      <c r="D61" s="2"/>
      <c r="E61" s="2"/>
      <c r="F61" s="2"/>
      <c r="G61" s="6"/>
      <c r="H61" s="2"/>
      <c r="I61" s="2"/>
      <c r="J61" s="2"/>
      <c r="K61" s="2"/>
      <c r="L61" s="2"/>
      <c r="M61" s="2"/>
    </row>
    <row r="62" spans="1:13" x14ac:dyDescent="0.3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4" spans="1:13" x14ac:dyDescent="0.3">
      <c r="A64" s="8"/>
    </row>
    <row r="65" spans="1:1" x14ac:dyDescent="0.3">
      <c r="A65" s="8"/>
    </row>
    <row r="66" spans="1:1" x14ac:dyDescent="0.3">
      <c r="A66" s="8"/>
    </row>
  </sheetData>
  <sortState xmlns:xlrd2="http://schemas.microsoft.com/office/spreadsheetml/2017/richdata2" ref="A15:M41">
    <sortCondition ref="B15:B41"/>
  </sortState>
  <mergeCells count="3">
    <mergeCell ref="A2:M2"/>
    <mergeCell ref="A3:M3"/>
    <mergeCell ref="A1:M1"/>
  </mergeCells>
  <pageMargins left="0.46" right="0.37" top="0.75" bottom="0.75" header="0.3" footer="0.3"/>
  <pageSetup scale="51" orientation="landscape" r:id="rId1"/>
  <headerFooter>
    <oddHeader xml:space="preserve">&amp;R&amp;"Times New Roman,Bold"&amp;KFF0000This table was generated on.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Presidential Table 2</vt:lpstr>
      <vt:lpstr>'Presidential Table 2'!Print_Area</vt:lpstr>
    </vt:vector>
  </TitlesOfParts>
  <Company>Federal Election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Clark II</dc:creator>
  <cp:lastModifiedBy>Myles G. Martin</cp:lastModifiedBy>
  <cp:lastPrinted>2021-03-24T13:05:28Z</cp:lastPrinted>
  <dcterms:created xsi:type="dcterms:W3CDTF">2012-01-30T00:39:58Z</dcterms:created>
  <dcterms:modified xsi:type="dcterms:W3CDTF">2025-04-17T17:33:25Z</dcterms:modified>
</cp:coreProperties>
</file>